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  <sheet name="Run metrics" sheetId="2" r:id="rId2"/>
  </sheets>
  <calcPr calcId="124519" fullCalcOnLoad="1"/>
</workbook>
</file>

<file path=xl/sharedStrings.xml><?xml version="1.0" encoding="utf-8"?>
<sst xmlns="http://schemas.openxmlformats.org/spreadsheetml/2006/main" count="137" uniqueCount="48">
  <si>
    <t>Model test results</t>
  </si>
  <si>
    <t>Results averaged across three seeds.</t>
  </si>
  <si>
    <t>Model</t>
  </si>
  <si>
    <t>glide
AUROC</t>
  </si>
  <si>
    <t>Midjourney
AUROC</t>
  </si>
  <si>
    <t>wukong
AUROC</t>
  </si>
  <si>
    <t>Mean
AUROC</t>
  </si>
  <si>
    <t>Seed SD
(mean AUROC)</t>
  </si>
  <si>
    <t>Cross-generator
SD</t>
  </si>
  <si>
    <t>Worst-generator
AUROC</t>
  </si>
  <si>
    <t>Seed SD
(worst AUROC)</t>
  </si>
  <si>
    <t>A</t>
  </si>
  <si>
    <t>F</t>
  </si>
  <si>
    <t>B</t>
  </si>
  <si>
    <t>Mean AUROC: average across generators within each seed, then across seeds. Worst AUROC: minimum per seed, then average.</t>
  </si>
  <si>
    <t>Cross-generator SD: population SD across generators (ddof=0), averaged across seeds. Lower is more consistent.</t>
  </si>
  <si>
    <t>Seed SD: sample SD across three seeds (ddof=1).</t>
  </si>
  <si>
    <t>Metrics by generator</t>
  </si>
  <si>
    <t>Generator</t>
  </si>
  <si>
    <t>AUROC
mean</t>
  </si>
  <si>
    <t>AUROC
seed SD</t>
  </si>
  <si>
    <t>Accuracy
mean</t>
  </si>
  <si>
    <t>Accuracy
seed SD</t>
  </si>
  <si>
    <t>Precision
mean</t>
  </si>
  <si>
    <t>Precision
seed SD</t>
  </si>
  <si>
    <t>Recall
mean</t>
  </si>
  <si>
    <t>Recall
seed SD</t>
  </si>
  <si>
    <t>glide</t>
  </si>
  <si>
    <t>Midjourney</t>
  </si>
  <si>
    <t>wukong</t>
  </si>
  <si>
    <t>Seed</t>
  </si>
  <si>
    <t>Real
images</t>
  </si>
  <si>
    <t>AI
images</t>
  </si>
  <si>
    <t>TN</t>
  </si>
  <si>
    <t>FP</t>
  </si>
  <si>
    <t>FN</t>
  </si>
  <si>
    <t>TP</t>
  </si>
  <si>
    <t>AUROC</t>
  </si>
  <si>
    <t>Accuracy</t>
  </si>
  <si>
    <t>Precision</t>
  </si>
  <si>
    <t>Recall</t>
  </si>
  <si>
    <t>Cross-generator statistics by seed</t>
  </si>
  <si>
    <t>AUROC
range</t>
  </si>
  <si>
    <t>Test settings</t>
  </si>
  <si>
    <t>Per generator: 2,500 AI + the same 1,166 real images = 3,666. AI=1; real=0; threshold=0.5.</t>
  </si>
  <si>
    <t>AUROC uses continuous probabilities. Other metrics use the classification threshold.</t>
  </si>
  <si>
    <t>Undefined precision is shown as n.a.</t>
  </si>
  <si>
    <t>Methods and sources: SCORING.md.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</si>
</sst>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#,##0"/>
  </numFmts>
  <fonts count="7">
    <font>
      <sz val="11"/>
      <color theme="1"/>
      <name val="Calibri"/>
      <family val="2"/>
      <scheme val="minor"/>
    </font>
    <font>
      <sz val="11"/>
      <color rgb="FF202B38"/>
      <name val="Arial"/>
      <family val="2"/>
    </font>
    <font>
      <b/>
      <sz val="16"/>
      <color rgb="FF202B38"/>
      <name val="Arial"/>
      <family val="2"/>
    </font>
    <font>
      <i/>
      <sz val="11"/>
      <color rgb="FF526676"/>
      <name val="Arial"/>
      <family val="2"/>
    </font>
    <font>
      <b/>
      <sz val="11"/>
      <color rgb="FFFFFFFF"/>
      <name val="Arial"/>
      <family val="2"/>
    </font>
    <font>
      <sz val="11"/>
      <color rgb="FF526676"/>
      <name val="Arial"/>
      <family val="2"/>
    </font>
    <font>
      <b/>
      <sz val="14"/>
      <color rgb="FF202B3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84B6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3A7B5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84B63"/>
  </sheetPr>
  <dimension ref="A2:J26"/>
  <sheetViews>
    <sheetView showGridLines="0" tabSelected="1" workbookViewId="0"/>
  </sheetViews>
  <sheetFormatPr defaultRowHeight="18.75" customHeight="1"/>
  <cols>
    <col min="1" max="1" width="11.140625" style="1" customWidth="1"/>
    <col min="2" max="4" width="18" style="1" customWidth="1"/>
    <col min="5" max="9" width="17.7109375" style="1" customWidth="1"/>
    <col min="10" max="10" width="16.5703125" style="1" customWidth="1"/>
  </cols>
  <sheetData>
    <row r="2" spans="1:10" ht="18.7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18.75" customHeight="1">
      <c r="A3" s="4" t="s">
        <v>1</v>
      </c>
    </row>
    <row r="5" spans="1:10" ht="48" customHeight="1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 spans="1:10" ht="18.75" customHeight="1">
      <c r="A6" s="1" t="s">
        <v>11</v>
      </c>
      <c r="B6" s="6">
        <f>AVERAGE('Run metrics'!C34:C36)</f>
        <v>0.9745924528301887</v>
      </c>
      <c r="C6" s="6">
        <f>AVERAGE('Run metrics'!D34:D36)</f>
        <v>0.9368702115494568</v>
      </c>
      <c r="D6" s="6">
        <f>AVERAGE('Run metrics'!E34:E36)</f>
        <v>0.9429211549456832</v>
      </c>
      <c r="E6" s="6">
        <f>AVERAGE('Run metrics'!F34:F36)</f>
        <v>0.9514612731084429</v>
      </c>
      <c r="F6" s="6">
        <f>STDEV('Run metrics'!F34:F36)</f>
        <v>0.0036146258676019232</v>
      </c>
      <c r="G6" s="6">
        <f>AVERAGE('Run metrics'!G34:G36)</f>
        <v>0.016594666893760022</v>
      </c>
      <c r="H6" s="6">
        <f>AVERAGE('Run metrics'!H34:H36)</f>
        <v>0.9368702115494568</v>
      </c>
      <c r="I6" s="6">
        <f>STDEV('Run metrics'!H34:H36)</f>
        <v>0.0012764939123468097</v>
      </c>
    </row>
    <row r="7" spans="1:10" ht="18.75" customHeight="1">
      <c r="A7" s="1" t="s">
        <v>12</v>
      </c>
      <c r="B7" s="6">
        <f>AVERAGE('Run metrics'!C37:C39)</f>
        <v>0.9165541452258433</v>
      </c>
      <c r="C7" s="6">
        <f>AVERAGE('Run metrics'!D37:D39)</f>
        <v>0.7104995997712978</v>
      </c>
      <c r="D7" s="6">
        <f>AVERAGE('Run metrics'!E37:E39)</f>
        <v>0.795294568324757</v>
      </c>
      <c r="E7" s="6">
        <f>AVERAGE('Run metrics'!F37:F39)</f>
        <v>0.807449437773966</v>
      </c>
      <c r="F7" s="6">
        <f>STDEV('Run metrics'!F37:F39)</f>
        <v>0.059507944750376074</v>
      </c>
      <c r="G7" s="6">
        <f>AVERAGE('Run metrics'!G37:G39)</f>
        <v>0.08514863682187632</v>
      </c>
      <c r="H7" s="6">
        <f>AVERAGE('Run metrics'!H37:H39)</f>
        <v>0.7104995997712978</v>
      </c>
      <c r="I7" s="6">
        <f>STDEV('Run metrics'!H37:H39)</f>
        <v>0.0645834116077902</v>
      </c>
    </row>
    <row r="8" spans="1:10" ht="18.75" customHeight="1">
      <c r="A8" s="1" t="s">
        <v>13</v>
      </c>
      <c r="B8" s="6">
        <f>AVERAGE('Run metrics'!C40:C42)</f>
        <v>0.9757634076615209</v>
      </c>
      <c r="C8" s="6">
        <f>AVERAGE('Run metrics'!D40:D42)</f>
        <v>0.9074965122927386</v>
      </c>
      <c r="D8" s="6">
        <f>AVERAGE('Run metrics'!E40:E42)</f>
        <v>0.9399650085763295</v>
      </c>
      <c r="E8" s="6">
        <f>AVERAGE('Run metrics'!F40:F42)</f>
        <v>0.941074976176863</v>
      </c>
      <c r="F8" s="6">
        <f>STDEV('Run metrics'!F40:F42)</f>
        <v>0.0038156059140285097</v>
      </c>
      <c r="G8" s="6">
        <f>AVERAGE('Run metrics'!G40:G42)</f>
        <v>0.02795202413649668</v>
      </c>
      <c r="H8" s="6">
        <f>AVERAGE('Run metrics'!H40:H42)</f>
        <v>0.9074965122927386</v>
      </c>
      <c r="I8" s="6">
        <f>STDEV('Run metrics'!H40:H42)</f>
        <v>0.007317521702188979</v>
      </c>
    </row>
    <row r="10" spans="1:10" ht="18.75" customHeight="1">
      <c r="A10" s="7" t="s">
        <v>14</v>
      </c>
    </row>
    <row r="11" spans="1:10" ht="18.75" customHeight="1">
      <c r="A11" s="7" t="s">
        <v>15</v>
      </c>
    </row>
    <row r="12" spans="1:10" ht="18.75" customHeight="1">
      <c r="A12" s="7" t="s">
        <v>16</v>
      </c>
    </row>
    <row r="15" spans="1:10" ht="18.75" customHeight="1">
      <c r="A15" s="8" t="s">
        <v>17</v>
      </c>
    </row>
    <row r="17" spans="1:10" ht="48" customHeight="1">
      <c r="A17" s="5" t="s">
        <v>2</v>
      </c>
      <c r="B17" s="5" t="s">
        <v>18</v>
      </c>
      <c r="C17" s="5" t="s">
        <v>19</v>
      </c>
      <c r="D17" s="5" t="s">
        <v>20</v>
      </c>
      <c r="E17" s="5" t="s">
        <v>21</v>
      </c>
      <c r="F17" s="5" t="s">
        <v>22</v>
      </c>
      <c r="G17" s="5" t="s">
        <v>23</v>
      </c>
      <c r="H17" s="5" t="s">
        <v>24</v>
      </c>
      <c r="I17" s="5" t="s">
        <v>25</v>
      </c>
      <c r="J17" s="5" t="s">
        <v>26</v>
      </c>
    </row>
    <row r="18" spans="1:10" ht="18.75" customHeight="1">
      <c r="A18" s="1" t="s">
        <v>11</v>
      </c>
      <c r="B18" s="1" t="s">
        <v>27</v>
      </c>
      <c r="C18" s="6">
        <f>IF(COUNT('Run metrics'!J2,'Run metrics'!J5,'Run metrics'!J8)=3,AVERAGE('Run metrics'!J2,'Run metrics'!J5,'Run metrics'!J8),"n.a.")</f>
        <v>0.9745924528301887</v>
      </c>
      <c r="D18" s="6">
        <f>IF(COUNT('Run metrics'!J2,'Run metrics'!J5,'Run metrics'!J8)=3,STDEV('Run metrics'!J2,'Run metrics'!J5,'Run metrics'!J8),"n.a.")</f>
        <v>0.004939115719233761</v>
      </c>
      <c r="E18" s="9">
        <f>IF(COUNT('Run metrics'!K2,'Run metrics'!K5,'Run metrics'!K8)=3,AVERAGE('Run metrics'!K2,'Run metrics'!K5,'Run metrics'!K8),"n.a.")</f>
        <v>0.9142571376613929</v>
      </c>
      <c r="F18" s="9">
        <f>IF(COUNT('Run metrics'!K2,'Run metrics'!K5,'Run metrics'!K8)=3,STDEV('Run metrics'!K2,'Run metrics'!K5,'Run metrics'!K8),"n.a.")</f>
        <v>0.010001405205631569</v>
      </c>
      <c r="G18" s="9">
        <f>IF(COUNT('Run metrics'!L2,'Run metrics'!L5,'Run metrics'!L8)=3,AVERAGE('Run metrics'!L2,'Run metrics'!L5,'Run metrics'!L8),"n.a.")</f>
        <v>0.963131054908004</v>
      </c>
      <c r="H18" s="9">
        <f>IF(COUNT('Run metrics'!L2,'Run metrics'!L5,'Run metrics'!L8)=3,STDEV('Run metrics'!L2,'Run metrics'!L5,'Run metrics'!L8),"n.a.")</f>
        <v>0.00921231796782683</v>
      </c>
      <c r="I18" s="9">
        <f>IF(COUNT('Run metrics'!M2,'Run metrics'!M5,'Run metrics'!M8)=3,AVERAGE('Run metrics'!M2,'Run metrics'!M5,'Run metrics'!M8),"n.a.")</f>
        <v>0.9092</v>
      </c>
      <c r="J18" s="9">
        <f>IF(COUNT('Run metrics'!M2,'Run metrics'!M5,'Run metrics'!M8)=3,STDEV('Run metrics'!M2,'Run metrics'!M5,'Run metrics'!M8),"n.a.")</f>
        <v>0.01860322552677358</v>
      </c>
    </row>
    <row r="19" spans="1:10" ht="18.75" customHeight="1">
      <c r="A19" s="1" t="s">
        <v>11</v>
      </c>
      <c r="B19" s="1" t="s">
        <v>28</v>
      </c>
      <c r="C19" s="6">
        <f>IF(COUNT('Run metrics'!J3,'Run metrics'!J6,'Run metrics'!J9)=3,AVERAGE('Run metrics'!J3,'Run metrics'!J6,'Run metrics'!J9),"n.a.")</f>
        <v>0.9368702115494568</v>
      </c>
      <c r="D19" s="6">
        <f>IF(COUNT('Run metrics'!J3,'Run metrics'!J6,'Run metrics'!J9)=3,STDEV('Run metrics'!J3,'Run metrics'!J6,'Run metrics'!J9),"n.a.")</f>
        <v>0.0012764939123468097</v>
      </c>
      <c r="E19" s="9">
        <f>IF(COUNT('Run metrics'!K3,'Run metrics'!K6,'Run metrics'!K9)=3,AVERAGE('Run metrics'!K3,'Run metrics'!K6,'Run metrics'!K9),"n.a.")</f>
        <v>0.8253318785233679</v>
      </c>
      <c r="F19" s="9">
        <f>IF(COUNT('Run metrics'!K3,'Run metrics'!K6,'Run metrics'!K9)=3,STDEV('Run metrics'!K3,'Run metrics'!K6,'Run metrics'!K9),"n.a.")</f>
        <v>0.02675485486431824</v>
      </c>
      <c r="G19" s="9">
        <f>IF(COUNT('Run metrics'!L3,'Run metrics'!L6,'Run metrics'!L9)=3,AVERAGE('Run metrics'!L3,'Run metrics'!L6,'Run metrics'!L9),"n.a.")</f>
        <v>0.9574785694989909</v>
      </c>
      <c r="H19" s="9">
        <f>IF(COUNT('Run metrics'!L3,'Run metrics'!L6,'Run metrics'!L9)=3,STDEV('Run metrics'!L3,'Run metrics'!L6,'Run metrics'!L9),"n.a.")</f>
        <v>0.008647429932707262</v>
      </c>
      <c r="I19" s="9">
        <f>IF(COUNT('Run metrics'!M3,'Run metrics'!M6,'Run metrics'!M9)=3,AVERAGE('Run metrics'!M3,'Run metrics'!M6,'Run metrics'!M9),"n.a.")</f>
        <v>0.7787999999999999</v>
      </c>
      <c r="J19" s="9">
        <f>IF(COUNT('Run metrics'!M3,'Run metrics'!M6,'Run metrics'!M9)=3,STDEV('Run metrics'!M3,'Run metrics'!M6,'Run metrics'!M9),"n.a.")</f>
        <v>0.04855841842564482</v>
      </c>
    </row>
    <row r="20" spans="1:10" ht="18.75" customHeight="1">
      <c r="A20" s="1" t="s">
        <v>11</v>
      </c>
      <c r="B20" s="1" t="s">
        <v>29</v>
      </c>
      <c r="C20" s="6">
        <f>IF(COUNT('Run metrics'!J4,'Run metrics'!J7,'Run metrics'!J10)=3,AVERAGE('Run metrics'!J4,'Run metrics'!J7,'Run metrics'!J10),"n.a.")</f>
        <v>0.9429211549456832</v>
      </c>
      <c r="D20" s="6">
        <f>IF(COUNT('Run metrics'!J4,'Run metrics'!J7,'Run metrics'!J10)=3,STDEV('Run metrics'!J4,'Run metrics'!J7,'Run metrics'!J10),"n.a.")</f>
        <v>0.004984946999439356</v>
      </c>
      <c r="E20" s="9">
        <f>IF(COUNT('Run metrics'!K4,'Run metrics'!K7,'Run metrics'!K10)=3,AVERAGE('Run metrics'!K4,'Run metrics'!K7,'Run metrics'!K10),"n.a.")</f>
        <v>0.842789598108747</v>
      </c>
      <c r="F20" s="9">
        <f>IF(COUNT('Run metrics'!K4,'Run metrics'!K7,'Run metrics'!K10)=3,STDEV('Run metrics'!K4,'Run metrics'!K7,'Run metrics'!K10),"n.a.")</f>
        <v>0.01693488199806232</v>
      </c>
      <c r="G20" s="9">
        <f>IF(COUNT('Run metrics'!L4,'Run metrics'!L7,'Run metrics'!L10)=3,AVERAGE('Run metrics'!L4,'Run metrics'!L7,'Run metrics'!L10),"n.a.")</f>
        <v>0.9586878046033074</v>
      </c>
      <c r="H20" s="9">
        <f>IF(COUNT('Run metrics'!L4,'Run metrics'!L7,'Run metrics'!L10)=3,STDEV('Run metrics'!L4,'Run metrics'!L7,'Run metrics'!L10),"n.a.")</f>
        <v>0.009226265070273524</v>
      </c>
      <c r="I20" s="9">
        <f>IF(COUNT('Run metrics'!M4,'Run metrics'!M7,'Run metrics'!M10)=3,AVERAGE('Run metrics'!M4,'Run metrics'!M7,'Run metrics'!M10),"n.a.")</f>
        <v>0.8044</v>
      </c>
      <c r="J20" s="9">
        <f>IF(COUNT('Run metrics'!M4,'Run metrics'!M7,'Run metrics'!M10)=3,STDEV('Run metrics'!M4,'Run metrics'!M7,'Run metrics'!M10),"n.a.")</f>
        <v>0.03381597255735818</v>
      </c>
    </row>
    <row r="21" spans="1:10" ht="18.75" customHeight="1">
      <c r="A21" s="1" t="s">
        <v>12</v>
      </c>
      <c r="B21" s="1" t="s">
        <v>27</v>
      </c>
      <c r="C21" s="6">
        <f>IF(COUNT('Run metrics'!J11,'Run metrics'!J14,'Run metrics'!J17)=3,AVERAGE('Run metrics'!J11,'Run metrics'!J14,'Run metrics'!J17),"n.a.")</f>
        <v>0.9165541452258433</v>
      </c>
      <c r="D21" s="6">
        <f>IF(COUNT('Run metrics'!J11,'Run metrics'!J14,'Run metrics'!J17)=3,STDEV('Run metrics'!J11,'Run metrics'!J14,'Run metrics'!J17),"n.a.")</f>
        <v>0.037191443638035636</v>
      </c>
      <c r="E21" s="9">
        <f>IF(COUNT('Run metrics'!K11,'Run metrics'!K14,'Run metrics'!K17)=3,AVERAGE('Run metrics'!K11,'Run metrics'!K14,'Run metrics'!K17),"n.a.")</f>
        <v>0.7686852154937261</v>
      </c>
      <c r="F21" s="9">
        <f>IF(COUNT('Run metrics'!K11,'Run metrics'!K14,'Run metrics'!K17)=3,STDEV('Run metrics'!K11,'Run metrics'!K14,'Run metrics'!K17),"n.a.")</f>
        <v>0.0755961118372662</v>
      </c>
      <c r="G21" s="9">
        <f>IF(COUNT('Run metrics'!L11,'Run metrics'!L14,'Run metrics'!L17)=3,AVERAGE('Run metrics'!L11,'Run metrics'!L14,'Run metrics'!L17),"n.a.")</f>
        <v>0.9399760836343328</v>
      </c>
      <c r="H21" s="9">
        <f>IF(COUNT('Run metrics'!L11,'Run metrics'!L14,'Run metrics'!L17)=3,STDEV('Run metrics'!L11,'Run metrics'!L14,'Run metrics'!L17),"n.a.")</f>
        <v>0.029604752120336888</v>
      </c>
      <c r="I21" s="9">
        <f>IF(COUNT('Run metrics'!M11,'Run metrics'!M14,'Run metrics'!M17)=3,AVERAGE('Run metrics'!M11,'Run metrics'!M14,'Run metrics'!M17),"n.a.")</f>
        <v>0.7074666666666667</v>
      </c>
      <c r="J21" s="9">
        <f>IF(COUNT('Run metrics'!M11,'Run metrics'!M14,'Run metrics'!M17)=3,STDEV('Run metrics'!M11,'Run metrics'!M14,'Run metrics'!M17),"n.a.")</f>
        <v>0.12251780822938897</v>
      </c>
    </row>
    <row r="22" spans="1:10" ht="18.75" customHeight="1">
      <c r="A22" s="1" t="s">
        <v>12</v>
      </c>
      <c r="B22" s="1" t="s">
        <v>28</v>
      </c>
      <c r="C22" s="6">
        <f>IF(COUNT('Run metrics'!J12,'Run metrics'!J15,'Run metrics'!J18)=3,AVERAGE('Run metrics'!J12,'Run metrics'!J15,'Run metrics'!J18),"n.a.")</f>
        <v>0.7104995997712978</v>
      </c>
      <c r="D22" s="6">
        <f>IF(COUNT('Run metrics'!J12,'Run metrics'!J15,'Run metrics'!J18)=3,STDEV('Run metrics'!J12,'Run metrics'!J15,'Run metrics'!J18),"n.a.")</f>
        <v>0.0645834116077902</v>
      </c>
      <c r="E22" s="9">
        <f>IF(COUNT('Run metrics'!K12,'Run metrics'!K15,'Run metrics'!K18)=3,AVERAGE('Run metrics'!K12,'Run metrics'!K15,'Run metrics'!K18),"n.a.")</f>
        <v>0.486088379705401</v>
      </c>
      <c r="F22" s="9">
        <f>IF(COUNT('Run metrics'!K12,'Run metrics'!K15,'Run metrics'!K18)=3,STDEV('Run metrics'!K12,'Run metrics'!K15,'Run metrics'!K18),"n.a.")</f>
        <v>0.037244782218021855</v>
      </c>
      <c r="G22" s="9">
        <f>IF(COUNT('Run metrics'!L12,'Run metrics'!L15,'Run metrics'!L18)=3,AVERAGE('Run metrics'!L12,'Run metrics'!L15,'Run metrics'!L18),"n.a.")</f>
        <v>0.8672027497326985</v>
      </c>
      <c r="H22" s="9">
        <f>IF(COUNT('Run metrics'!L12,'Run metrics'!L15,'Run metrics'!L18)=3,STDEV('Run metrics'!L12,'Run metrics'!L15,'Run metrics'!L18),"n.a.")</f>
        <v>0.062095800280277925</v>
      </c>
      <c r="I22" s="9">
        <f>IF(COUNT('Run metrics'!M12,'Run metrics'!M15,'Run metrics'!M18)=3,AVERAGE('Run metrics'!M12,'Run metrics'!M15,'Run metrics'!M18),"n.a.")</f>
        <v>0.29306666666666664</v>
      </c>
      <c r="J22" s="9">
        <f>IF(COUNT('Run metrics'!M12,'Run metrics'!M15,'Run metrics'!M18)=3,STDEV('Run metrics'!M12,'Run metrics'!M15,'Run metrics'!M18),"n.a.")</f>
        <v>0.05944050246535046</v>
      </c>
    </row>
    <row r="23" spans="1:10" ht="18.75" customHeight="1">
      <c r="A23" s="1" t="s">
        <v>12</v>
      </c>
      <c r="B23" s="1" t="s">
        <v>29</v>
      </c>
      <c r="C23" s="6">
        <f>IF(COUNT('Run metrics'!J13,'Run metrics'!J16,'Run metrics'!J19)=3,AVERAGE('Run metrics'!J13,'Run metrics'!J16,'Run metrics'!J19),"n.a.")</f>
        <v>0.795294568324757</v>
      </c>
      <c r="D23" s="6">
        <f>IF(COUNT('Run metrics'!J13,'Run metrics'!J16,'Run metrics'!J19)=3,STDEV('Run metrics'!J13,'Run metrics'!J16,'Run metrics'!J19),"n.a.")</f>
        <v>0.07751771672209522</v>
      </c>
      <c r="E23" s="9">
        <f>IF(COUNT('Run metrics'!K13,'Run metrics'!K16,'Run metrics'!K19)=3,AVERAGE('Run metrics'!K13,'Run metrics'!K16,'Run metrics'!K19),"n.a.")</f>
        <v>0.6207492271322058</v>
      </c>
      <c r="F23" s="9">
        <f>IF(COUNT('Run metrics'!K13,'Run metrics'!K16,'Run metrics'!K19)=3,STDEV('Run metrics'!K13,'Run metrics'!K16,'Run metrics'!K19),"n.a.")</f>
        <v>0.06205798655441975</v>
      </c>
      <c r="G23" s="9">
        <f>IF(COUNT('Run metrics'!L13,'Run metrics'!L16,'Run metrics'!L19)=3,AVERAGE('Run metrics'!L13,'Run metrics'!L16,'Run metrics'!L19),"n.a.")</f>
        <v>0.9121292855010444</v>
      </c>
      <c r="H23" s="9">
        <f>IF(COUNT('Run metrics'!L13,'Run metrics'!L16,'Run metrics'!L19)=3,STDEV('Run metrics'!L13,'Run metrics'!L16,'Run metrics'!L19),"n.a.")</f>
        <v>0.054810293593021336</v>
      </c>
      <c r="I23" s="9">
        <f>IF(COUNT('Run metrics'!M13,'Run metrics'!M16,'Run metrics'!M19)=3,AVERAGE('Run metrics'!M13,'Run metrics'!M16,'Run metrics'!M19),"n.a.")</f>
        <v>0.4905333333333334</v>
      </c>
      <c r="J23" s="9">
        <f>IF(COUNT('Run metrics'!M13,'Run metrics'!M16,'Run metrics'!M19)=3,STDEV('Run metrics'!M13,'Run metrics'!M16,'Run metrics'!M19),"n.a.")</f>
        <v>0.07727802619977646</v>
      </c>
    </row>
    <row r="24" spans="1:10" ht="18.75" customHeight="1">
      <c r="A24" s="1" t="s">
        <v>13</v>
      </c>
      <c r="B24" s="1" t="s">
        <v>27</v>
      </c>
      <c r="C24" s="6">
        <f>IF(COUNT('Run metrics'!J20,'Run metrics'!J23,'Run metrics'!J26)=3,AVERAGE('Run metrics'!J20,'Run metrics'!J23,'Run metrics'!J26),"n.a.")</f>
        <v>0.9757634076615209</v>
      </c>
      <c r="D24" s="6">
        <f>IF(COUNT('Run metrics'!J20,'Run metrics'!J23,'Run metrics'!J26)=3,STDEV('Run metrics'!J20,'Run metrics'!J23,'Run metrics'!J26),"n.a.")</f>
        <v>0.0042798397178077565</v>
      </c>
      <c r="E24" s="9">
        <f>IF(COUNT('Run metrics'!K20,'Run metrics'!K23,'Run metrics'!K26)=3,AVERAGE('Run metrics'!K20,'Run metrics'!K23,'Run metrics'!K26),"n.a.")</f>
        <v>0.9029823604291689</v>
      </c>
      <c r="F24" s="9">
        <f>IF(COUNT('Run metrics'!K20,'Run metrics'!K23,'Run metrics'!K26)=3,STDEV('Run metrics'!K20,'Run metrics'!K23,'Run metrics'!K26),"n.a.")</f>
        <v>0.043419817313726385</v>
      </c>
      <c r="G24" s="9">
        <f>IF(COUNT('Run metrics'!L20,'Run metrics'!L23,'Run metrics'!L26)=3,AVERAGE('Run metrics'!L20,'Run metrics'!L23,'Run metrics'!L26),"n.a.")</f>
        <v>0.9676536332274779</v>
      </c>
      <c r="H24" s="9">
        <f>IF(COUNT('Run metrics'!L20,'Run metrics'!L23,'Run metrics'!L26)=3,STDEV('Run metrics'!L20,'Run metrics'!L23,'Run metrics'!L26),"n.a.")</f>
        <v>0.014814459648269579</v>
      </c>
      <c r="I24" s="9">
        <f>IF(COUNT('Run metrics'!M20,'Run metrics'!M23,'Run metrics'!M26)=3,AVERAGE('Run metrics'!M20,'Run metrics'!M23,'Run metrics'!M26),"n.a.")</f>
        <v>0.8884</v>
      </c>
      <c r="J24" s="9">
        <f>IF(COUNT('Run metrics'!M20,'Run metrics'!M23,'Run metrics'!M26)=3,STDEV('Run metrics'!M20,'Run metrics'!M23,'Run metrics'!M26),"n.a.")</f>
        <v>0.07960803979498554</v>
      </c>
    </row>
    <row r="25" spans="1:10" ht="18.75" customHeight="1">
      <c r="A25" s="1" t="s">
        <v>13</v>
      </c>
      <c r="B25" s="1" t="s">
        <v>28</v>
      </c>
      <c r="C25" s="6">
        <f>IF(COUNT('Run metrics'!J21,'Run metrics'!J24,'Run metrics'!J27)=3,AVERAGE('Run metrics'!J21,'Run metrics'!J24,'Run metrics'!J27),"n.a.")</f>
        <v>0.9074965122927386</v>
      </c>
      <c r="D25" s="6">
        <f>IF(COUNT('Run metrics'!J21,'Run metrics'!J24,'Run metrics'!J27)=3,STDEV('Run metrics'!J21,'Run metrics'!J24,'Run metrics'!J27),"n.a.")</f>
        <v>0.007317521702188979</v>
      </c>
      <c r="E25" s="9">
        <f>IF(COUNT('Run metrics'!K21,'Run metrics'!K24,'Run metrics'!K27)=3,AVERAGE('Run metrics'!K21,'Run metrics'!K24,'Run metrics'!K27),"n.a.")</f>
        <v>0.7194035279141662</v>
      </c>
      <c r="F25" s="9">
        <f>IF(COUNT('Run metrics'!K21,'Run metrics'!K24,'Run metrics'!K27)=3,STDEV('Run metrics'!K21,'Run metrics'!K24,'Run metrics'!K27),"n.a.")</f>
        <v>0.11152048954957701</v>
      </c>
      <c r="G25" s="9">
        <f>IF(COUNT('Run metrics'!L21,'Run metrics'!L24,'Run metrics'!L27)=3,AVERAGE('Run metrics'!L21,'Run metrics'!L24,'Run metrics'!L27),"n.a.")</f>
        <v>0.9552079118515988</v>
      </c>
      <c r="H25" s="9">
        <f>IF(COUNT('Run metrics'!L21,'Run metrics'!L24,'Run metrics'!L27)=3,STDEV('Run metrics'!L21,'Run metrics'!L24,'Run metrics'!L27),"n.a.")</f>
        <v>0.014110335959876224</v>
      </c>
      <c r="I25" s="9">
        <f>IF(COUNT('Run metrics'!M21,'Run metrics'!M24,'Run metrics'!M27)=3,AVERAGE('Run metrics'!M21,'Run metrics'!M24,'Run metrics'!M27),"n.a.")</f>
        <v>0.6192</v>
      </c>
      <c r="J25" s="9">
        <f>IF(COUNT('Run metrics'!M21,'Run metrics'!M24,'Run metrics'!M27)=3,STDEV('Run metrics'!M21,'Run metrics'!M24,'Run metrics'!M27),"n.a.")</f>
        <v>0.17843362911738359</v>
      </c>
    </row>
    <row r="26" spans="1:10" ht="18.75" customHeight="1">
      <c r="A26" s="1" t="s">
        <v>13</v>
      </c>
      <c r="B26" s="1" t="s">
        <v>29</v>
      </c>
      <c r="C26" s="6">
        <f>IF(COUNT('Run metrics'!J22,'Run metrics'!J25,'Run metrics'!J28)=3,AVERAGE('Run metrics'!J22,'Run metrics'!J25,'Run metrics'!J28),"n.a.")</f>
        <v>0.9399650085763295</v>
      </c>
      <c r="D26" s="6">
        <f>IF(COUNT('Run metrics'!J22,'Run metrics'!J25,'Run metrics'!J28)=3,STDEV('Run metrics'!J22,'Run metrics'!J25,'Run metrics'!J28),"n.a.")</f>
        <v>0.007155413079072147</v>
      </c>
      <c r="E26" s="9">
        <f>IF(COUNT('Run metrics'!K22,'Run metrics'!K25,'Run metrics'!K28)=3,AVERAGE('Run metrics'!K22,'Run metrics'!K25,'Run metrics'!K28),"n.a.")</f>
        <v>0.800872885979269</v>
      </c>
      <c r="F26" s="9">
        <f>IF(COUNT('Run metrics'!K22,'Run metrics'!K25,'Run metrics'!K28)=3,STDEV('Run metrics'!K22,'Run metrics'!K25,'Run metrics'!K28),"n.a.")</f>
        <v>0.09437724876574118</v>
      </c>
      <c r="G26" s="9">
        <f>IF(COUNT('Run metrics'!L22,'Run metrics'!L25,'Run metrics'!L28)=3,AVERAGE('Run metrics'!L22,'Run metrics'!L25,'Run metrics'!L28),"n.a.")</f>
        <v>0.9620579704341972</v>
      </c>
      <c r="H26" s="9">
        <f>IF(COUNT('Run metrics'!L22,'Run metrics'!L25,'Run metrics'!L28)=3,STDEV('Run metrics'!L22,'Run metrics'!L25,'Run metrics'!L28),"n.a.")</f>
        <v>0.01448684388354529</v>
      </c>
      <c r="I26" s="9">
        <f>IF(COUNT('Run metrics'!M22,'Run metrics'!M25,'Run metrics'!M28)=3,AVERAGE('Run metrics'!M22,'Run metrics'!M25,'Run metrics'!M28),"n.a.")</f>
        <v>0.7386666666666667</v>
      </c>
      <c r="J26" s="9">
        <f>IF(COUNT('Run metrics'!M22,'Run metrics'!M25,'Run metrics'!M28)=3,STDEV('Run metrics'!M22,'Run metrics'!M25,'Run metrics'!M28),"n.a.")</f>
        <v>0.153348926743337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8.75" customHeight="1"/>
  <cols>
    <col min="1" max="1" width="10" style="1" customWidth="1"/>
    <col min="2" max="2" width="10.5703125" style="10" customWidth="1"/>
    <col min="3" max="3" width="17.7109375" style="1" customWidth="1"/>
    <col min="4" max="9" width="14.85546875" style="11" customWidth="1"/>
    <col min="10" max="13" width="14.5703125" style="1" customWidth="1"/>
  </cols>
  <sheetData>
    <row r="1" spans="1:13" ht="48" customHeight="1">
      <c r="A1" s="5" t="s">
        <v>2</v>
      </c>
      <c r="B1" s="5" t="s">
        <v>30</v>
      </c>
      <c r="C1" s="5" t="s">
        <v>18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</row>
    <row r="2" spans="1:13" ht="18.75" customHeight="1">
      <c r="A2" s="1" t="s">
        <v>11</v>
      </c>
      <c r="B2" s="10">
        <v>42</v>
      </c>
      <c r="C2" s="1" t="s">
        <v>27</v>
      </c>
      <c r="D2" s="11">
        <v>1166</v>
      </c>
      <c r="E2" s="11">
        <v>2500</v>
      </c>
      <c r="F2" s="11">
        <v>1074</v>
      </c>
      <c r="G2" s="11">
        <v>92</v>
      </c>
      <c r="H2" s="11">
        <v>180</v>
      </c>
      <c r="I2" s="11">
        <v>2320</v>
      </c>
      <c r="J2" s="6">
        <v>0.9766672384219555</v>
      </c>
      <c r="K2" s="9">
        <f>(F2+I2)/SUM(F2:I2)</f>
        <v>0.9258046917621385</v>
      </c>
      <c r="L2" s="9">
        <f>IF(SUM(G2,I2)=0,"n.a.",I2/SUM(G2,I2))</f>
        <v>0.9618573797678275</v>
      </c>
      <c r="M2" s="9">
        <f>I2/SUM(H2:I2)</f>
        <v>0.928</v>
      </c>
    </row>
    <row r="3" spans="1:13" ht="18.75" customHeight="1">
      <c r="A3" s="1" t="s">
        <v>11</v>
      </c>
      <c r="B3" s="10">
        <v>42</v>
      </c>
      <c r="C3" s="1" t="s">
        <v>28</v>
      </c>
      <c r="D3" s="11">
        <v>1166</v>
      </c>
      <c r="E3" s="11">
        <v>2500</v>
      </c>
      <c r="F3" s="11">
        <v>1074</v>
      </c>
      <c r="G3" s="11">
        <v>92</v>
      </c>
      <c r="H3" s="11">
        <v>536</v>
      </c>
      <c r="I3" s="11">
        <v>1964</v>
      </c>
      <c r="J3" s="6">
        <v>0.936445283018868</v>
      </c>
      <c r="K3" s="9">
        <f>(F3+I3)/SUM(F3:I3)</f>
        <v>0.828696126568467</v>
      </c>
      <c r="L3" s="9">
        <f>IF(SUM(G3,I3)=0,"n.a.",I3/SUM(G3,I3))</f>
        <v>0.9552529182879378</v>
      </c>
      <c r="M3" s="9">
        <f>I3/SUM(H3:I3)</f>
        <v>0.7856</v>
      </c>
    </row>
    <row r="4" spans="1:13" ht="18.75" customHeight="1">
      <c r="A4" s="1" t="s">
        <v>11</v>
      </c>
      <c r="B4" s="10">
        <v>42</v>
      </c>
      <c r="C4" s="1" t="s">
        <v>29</v>
      </c>
      <c r="D4" s="11">
        <v>1166</v>
      </c>
      <c r="E4" s="11">
        <v>2500</v>
      </c>
      <c r="F4" s="11">
        <v>1074</v>
      </c>
      <c r="G4" s="11">
        <v>92</v>
      </c>
      <c r="H4" s="11">
        <v>450</v>
      </c>
      <c r="I4" s="11">
        <v>2050</v>
      </c>
      <c r="J4" s="6">
        <v>0.9459689536878216</v>
      </c>
      <c r="K4" s="9">
        <f>(F4+I4)/SUM(F4:I4)</f>
        <v>0.8521549372613202</v>
      </c>
      <c r="L4" s="9">
        <f>IF(SUM(G4,I4)=0,"n.a.",I4/SUM(G4,I4))</f>
        <v>0.9570494864612512</v>
      </c>
      <c r="M4" s="9">
        <f>I4/SUM(H4:I4)</f>
        <v>0.82</v>
      </c>
    </row>
    <row r="5" spans="1:13" ht="18.75" customHeight="1">
      <c r="A5" s="1" t="s">
        <v>11</v>
      </c>
      <c r="B5" s="10">
        <v>123</v>
      </c>
      <c r="C5" s="1" t="s">
        <v>27</v>
      </c>
      <c r="D5" s="11">
        <v>1166</v>
      </c>
      <c r="E5" s="11">
        <v>2500</v>
      </c>
      <c r="F5" s="11">
        <v>1104</v>
      </c>
      <c r="G5" s="11">
        <v>62</v>
      </c>
      <c r="H5" s="11">
        <v>273</v>
      </c>
      <c r="I5" s="11">
        <v>2227</v>
      </c>
      <c r="J5" s="6">
        <v>0.9781557461406518</v>
      </c>
      <c r="K5" s="9">
        <f>(F5+I5)/SUM(F5:I5)</f>
        <v>0.908619749045281</v>
      </c>
      <c r="L5" s="9">
        <f>IF(SUM(G5,I5)=0,"n.a.",I5/SUM(G5,I5))</f>
        <v>0.9729139362166885</v>
      </c>
      <c r="M5" s="9">
        <f>I5/SUM(H5:I5)</f>
        <v>0.8908</v>
      </c>
    </row>
    <row r="6" spans="1:13" ht="18.75" customHeight="1">
      <c r="A6" s="1" t="s">
        <v>11</v>
      </c>
      <c r="B6" s="10">
        <v>123</v>
      </c>
      <c r="C6" s="1" t="s">
        <v>28</v>
      </c>
      <c r="D6" s="11">
        <v>1166</v>
      </c>
      <c r="E6" s="11">
        <v>2500</v>
      </c>
      <c r="F6" s="11">
        <v>1104</v>
      </c>
      <c r="G6" s="11">
        <v>62</v>
      </c>
      <c r="H6" s="11">
        <v>682</v>
      </c>
      <c r="I6" s="11">
        <v>1818</v>
      </c>
      <c r="J6" s="6">
        <v>0.9383049742710119</v>
      </c>
      <c r="K6" s="9">
        <f>(F6+I6)/SUM(F6:I6)</f>
        <v>0.7970540098199672</v>
      </c>
      <c r="L6" s="9">
        <f>IF(SUM(G6,I6)=0,"n.a.",I6/SUM(G6,I6))</f>
        <v>0.9670212765957447</v>
      </c>
      <c r="M6" s="9">
        <f>I6/SUM(H6:I6)</f>
        <v>0.7272</v>
      </c>
    </row>
    <row r="7" spans="1:13" ht="18.75" customHeight="1">
      <c r="A7" s="1" t="s">
        <v>11</v>
      </c>
      <c r="B7" s="10">
        <v>123</v>
      </c>
      <c r="C7" s="1" t="s">
        <v>29</v>
      </c>
      <c r="D7" s="11">
        <v>1166</v>
      </c>
      <c r="E7" s="11">
        <v>2500</v>
      </c>
      <c r="F7" s="11">
        <v>1104</v>
      </c>
      <c r="G7" s="11">
        <v>62</v>
      </c>
      <c r="H7" s="11">
        <v>586</v>
      </c>
      <c r="I7" s="11">
        <v>1914</v>
      </c>
      <c r="J7" s="6">
        <v>0.9456260720411663</v>
      </c>
      <c r="K7" s="9">
        <f>(F7+I7)/SUM(F7:I7)</f>
        <v>0.823240589198036</v>
      </c>
      <c r="L7" s="9">
        <f>IF(SUM(G7,I7)=0,"n.a.",I7/SUM(G7,I7))</f>
        <v>0.9686234817813765</v>
      </c>
      <c r="M7" s="9">
        <f>I7/SUM(H7:I7)</f>
        <v>0.7656</v>
      </c>
    </row>
    <row r="8" spans="1:13" ht="18.75" customHeight="1">
      <c r="A8" s="1" t="s">
        <v>11</v>
      </c>
      <c r="B8" s="10">
        <v>2026</v>
      </c>
      <c r="C8" s="1" t="s">
        <v>27</v>
      </c>
      <c r="D8" s="11">
        <v>1166</v>
      </c>
      <c r="E8" s="11">
        <v>2500</v>
      </c>
      <c r="F8" s="11">
        <v>1058</v>
      </c>
      <c r="G8" s="11">
        <v>108</v>
      </c>
      <c r="H8" s="11">
        <v>228</v>
      </c>
      <c r="I8" s="11">
        <v>2272</v>
      </c>
      <c r="J8" s="6">
        <v>0.9689543739279588</v>
      </c>
      <c r="K8" s="9">
        <f>(F8+I8)/SUM(F8:I8)</f>
        <v>0.9083469721767594</v>
      </c>
      <c r="L8" s="9">
        <f>IF(SUM(G8,I8)=0,"n.a.",I8/SUM(G8,I8))</f>
        <v>0.9546218487394958</v>
      </c>
      <c r="M8" s="9">
        <f>I8/SUM(H8:I8)</f>
        <v>0.9088</v>
      </c>
    </row>
    <row r="9" spans="1:13" ht="18.75" customHeight="1">
      <c r="A9" s="1" t="s">
        <v>11</v>
      </c>
      <c r="B9" s="10">
        <v>2026</v>
      </c>
      <c r="C9" s="1" t="s">
        <v>28</v>
      </c>
      <c r="D9" s="11">
        <v>1166</v>
      </c>
      <c r="E9" s="11">
        <v>2500</v>
      </c>
      <c r="F9" s="11">
        <v>1058</v>
      </c>
      <c r="G9" s="11">
        <v>108</v>
      </c>
      <c r="H9" s="11">
        <v>441</v>
      </c>
      <c r="I9" s="11">
        <v>2059</v>
      </c>
      <c r="J9" s="6">
        <v>0.9358603773584906</v>
      </c>
      <c r="K9" s="9">
        <f>(F9+I9)/SUM(F9:I9)</f>
        <v>0.8502454991816694</v>
      </c>
      <c r="L9" s="9">
        <f>IF(SUM(G9,I9)=0,"n.a.",I9/SUM(G9,I9))</f>
        <v>0.9501615136132903</v>
      </c>
      <c r="M9" s="9">
        <f>I9/SUM(H9:I9)</f>
        <v>0.8236</v>
      </c>
    </row>
    <row r="10" spans="1:13" ht="18.75" customHeight="1">
      <c r="A10" s="1" t="s">
        <v>11</v>
      </c>
      <c r="B10" s="10">
        <v>2026</v>
      </c>
      <c r="C10" s="1" t="s">
        <v>29</v>
      </c>
      <c r="D10" s="11">
        <v>1166</v>
      </c>
      <c r="E10" s="11">
        <v>2500</v>
      </c>
      <c r="F10" s="11">
        <v>1058</v>
      </c>
      <c r="G10" s="11">
        <v>108</v>
      </c>
      <c r="H10" s="11">
        <v>431</v>
      </c>
      <c r="I10" s="11">
        <v>2069</v>
      </c>
      <c r="J10" s="6">
        <v>0.9371684391080617</v>
      </c>
      <c r="K10" s="9">
        <f>(F10+I10)/SUM(F10:I10)</f>
        <v>0.8529732678668849</v>
      </c>
      <c r="L10" s="9">
        <f>IF(SUM(G10,I10)=0,"n.a.",I10/SUM(G10,I10))</f>
        <v>0.9503904455672945</v>
      </c>
      <c r="M10" s="9">
        <f>I10/SUM(H10:I10)</f>
        <v>0.8276</v>
      </c>
    </row>
    <row r="11" spans="1:13" ht="18.75" customHeight="1">
      <c r="A11" s="1" t="s">
        <v>12</v>
      </c>
      <c r="B11" s="10">
        <v>42</v>
      </c>
      <c r="C11" s="1" t="s">
        <v>27</v>
      </c>
      <c r="D11" s="11">
        <v>1166</v>
      </c>
      <c r="E11" s="11">
        <v>2500</v>
      </c>
      <c r="F11" s="11">
        <v>1061</v>
      </c>
      <c r="G11" s="11">
        <v>105</v>
      </c>
      <c r="H11" s="11">
        <v>461</v>
      </c>
      <c r="I11" s="11">
        <v>2039</v>
      </c>
      <c r="J11" s="6">
        <v>0.9478826758147513</v>
      </c>
      <c r="K11" s="9">
        <f>(F11+I11)/SUM(F11:I11)</f>
        <v>0.845608292416803</v>
      </c>
      <c r="L11" s="9">
        <f>IF(SUM(G11,I11)=0,"n.a.",I11/SUM(G11,I11))</f>
        <v>0.9510261194029851</v>
      </c>
      <c r="M11" s="9">
        <f>I11/SUM(H11:I11)</f>
        <v>0.8156</v>
      </c>
    </row>
    <row r="12" spans="1:13" ht="18.75" customHeight="1">
      <c r="A12" s="1" t="s">
        <v>12</v>
      </c>
      <c r="B12" s="10">
        <v>42</v>
      </c>
      <c r="C12" s="1" t="s">
        <v>28</v>
      </c>
      <c r="D12" s="11">
        <v>1166</v>
      </c>
      <c r="E12" s="11">
        <v>2500</v>
      </c>
      <c r="F12" s="11">
        <v>1061</v>
      </c>
      <c r="G12" s="11">
        <v>105</v>
      </c>
      <c r="H12" s="11">
        <v>1622</v>
      </c>
      <c r="I12" s="11">
        <v>878</v>
      </c>
      <c r="J12" s="6">
        <v>0.7661893653516294</v>
      </c>
      <c r="K12" s="9">
        <f>(F12+I12)/SUM(F12:I12)</f>
        <v>0.5289143480632842</v>
      </c>
      <c r="L12" s="9">
        <f>IF(SUM(G12,I12)=0,"n.a.",I12/SUM(G12,I12))</f>
        <v>0.8931841302136317</v>
      </c>
      <c r="M12" s="9">
        <f>I12/SUM(H12:I12)</f>
        <v>0.3512</v>
      </c>
    </row>
    <row r="13" spans="1:13" ht="18.75" customHeight="1">
      <c r="A13" s="1" t="s">
        <v>12</v>
      </c>
      <c r="B13" s="10">
        <v>42</v>
      </c>
      <c r="C13" s="1" t="s">
        <v>29</v>
      </c>
      <c r="D13" s="11">
        <v>1166</v>
      </c>
      <c r="E13" s="11">
        <v>2500</v>
      </c>
      <c r="F13" s="11">
        <v>1061</v>
      </c>
      <c r="G13" s="11">
        <v>105</v>
      </c>
      <c r="H13" s="11">
        <v>1057</v>
      </c>
      <c r="I13" s="11">
        <v>1443</v>
      </c>
      <c r="J13" s="6">
        <v>0.849306346483705</v>
      </c>
      <c r="K13" s="9">
        <f>(F13+I13)/SUM(F13:I13)</f>
        <v>0.6830332787779596</v>
      </c>
      <c r="L13" s="9">
        <f>IF(SUM(G13,I13)=0,"n.a.",I13/SUM(G13,I13))</f>
        <v>0.9321705426356589</v>
      </c>
      <c r="M13" s="9">
        <f>I13/SUM(H13:I13)</f>
        <v>0.5772</v>
      </c>
    </row>
    <row r="14" spans="1:13" ht="18.75" customHeight="1">
      <c r="A14" s="1" t="s">
        <v>12</v>
      </c>
      <c r="B14" s="10">
        <v>123</v>
      </c>
      <c r="C14" s="1" t="s">
        <v>27</v>
      </c>
      <c r="D14" s="11">
        <v>1166</v>
      </c>
      <c r="E14" s="11">
        <v>2500</v>
      </c>
      <c r="F14" s="11">
        <v>1110</v>
      </c>
      <c r="G14" s="11">
        <v>56</v>
      </c>
      <c r="H14" s="11">
        <v>1064</v>
      </c>
      <c r="I14" s="11">
        <v>1436</v>
      </c>
      <c r="J14" s="6">
        <v>0.9263279588336193</v>
      </c>
      <c r="K14" s="9">
        <f>(F14+I14)/SUM(F14:I14)</f>
        <v>0.6944899072558647</v>
      </c>
      <c r="L14" s="9">
        <f>IF(SUM(G14,I14)=0,"n.a.",I14/SUM(G14,I14))</f>
        <v>0.9624664879356568</v>
      </c>
      <c r="M14" s="9">
        <f>I14/SUM(H14:I14)</f>
        <v>0.5744</v>
      </c>
    </row>
    <row r="15" spans="1:13" ht="18.75" customHeight="1">
      <c r="A15" s="1" t="s">
        <v>12</v>
      </c>
      <c r="B15" s="10">
        <v>123</v>
      </c>
      <c r="C15" s="1" t="s">
        <v>28</v>
      </c>
      <c r="D15" s="11">
        <v>1166</v>
      </c>
      <c r="E15" s="11">
        <v>2500</v>
      </c>
      <c r="F15" s="11">
        <v>1110</v>
      </c>
      <c r="G15" s="11">
        <v>56</v>
      </c>
      <c r="H15" s="11">
        <v>1919</v>
      </c>
      <c r="I15" s="11">
        <v>581</v>
      </c>
      <c r="J15" s="6">
        <v>0.7256082332761578</v>
      </c>
      <c r="K15" s="9">
        <f>(F15+I15)/SUM(F15:I15)</f>
        <v>0.46126568466994</v>
      </c>
      <c r="L15" s="9">
        <f>IF(SUM(G15,I15)=0,"n.a.",I15/SUM(G15,I15))</f>
        <v>0.9120879120879121</v>
      </c>
      <c r="M15" s="9">
        <f>I15/SUM(H15:I15)</f>
        <v>0.2324</v>
      </c>
    </row>
    <row r="16" spans="1:13" ht="18.75" customHeight="1">
      <c r="A16" s="1" t="s">
        <v>12</v>
      </c>
      <c r="B16" s="10">
        <v>123</v>
      </c>
      <c r="C16" s="1" t="s">
        <v>29</v>
      </c>
      <c r="D16" s="11">
        <v>1166</v>
      </c>
      <c r="E16" s="11">
        <v>2500</v>
      </c>
      <c r="F16" s="11">
        <v>1110</v>
      </c>
      <c r="G16" s="11">
        <v>56</v>
      </c>
      <c r="H16" s="11">
        <v>1336</v>
      </c>
      <c r="I16" s="11">
        <v>1164</v>
      </c>
      <c r="J16" s="6">
        <v>0.8301032590051458</v>
      </c>
      <c r="K16" s="9">
        <f>(F16+I16)/SUM(F16:I16)</f>
        <v>0.6202945990180033</v>
      </c>
      <c r="L16" s="9">
        <f>IF(SUM(G16,I16)=0,"n.a.",I16/SUM(G16,I16))</f>
        <v>0.9540983606557377</v>
      </c>
      <c r="M16" s="9">
        <f>I16/SUM(H16:I16)</f>
        <v>0.4656</v>
      </c>
    </row>
    <row r="17" spans="1:13" ht="18.75" customHeight="1">
      <c r="A17" s="1" t="s">
        <v>12</v>
      </c>
      <c r="B17" s="10">
        <v>2026</v>
      </c>
      <c r="C17" s="1" t="s">
        <v>27</v>
      </c>
      <c r="D17" s="11">
        <v>1166</v>
      </c>
      <c r="E17" s="11">
        <v>2500</v>
      </c>
      <c r="F17" s="11">
        <v>977</v>
      </c>
      <c r="G17" s="11">
        <v>189</v>
      </c>
      <c r="H17" s="11">
        <v>669</v>
      </c>
      <c r="I17" s="11">
        <v>1831</v>
      </c>
      <c r="J17" s="6">
        <v>0.8754518010291594</v>
      </c>
      <c r="K17" s="9">
        <f>(F17+I17)/SUM(F17:I17)</f>
        <v>0.7659574468085106</v>
      </c>
      <c r="L17" s="9">
        <f>IF(SUM(G17,I17)=0,"n.a.",I17/SUM(G17,I17))</f>
        <v>0.9064356435643565</v>
      </c>
      <c r="M17" s="9">
        <f>I17/SUM(H17:I17)</f>
        <v>0.7324</v>
      </c>
    </row>
    <row r="18" spans="1:13" ht="18.75" customHeight="1">
      <c r="A18" s="1" t="s">
        <v>12</v>
      </c>
      <c r="B18" s="10">
        <v>2026</v>
      </c>
      <c r="C18" s="1" t="s">
        <v>28</v>
      </c>
      <c r="D18" s="11">
        <v>1166</v>
      </c>
      <c r="E18" s="11">
        <v>2500</v>
      </c>
      <c r="F18" s="11">
        <v>977</v>
      </c>
      <c r="G18" s="11">
        <v>189</v>
      </c>
      <c r="H18" s="11">
        <v>1761</v>
      </c>
      <c r="I18" s="11">
        <v>739</v>
      </c>
      <c r="J18" s="6">
        <v>0.6397012006861064</v>
      </c>
      <c r="K18" s="9">
        <f>(F18+I18)/SUM(F18:I18)</f>
        <v>0.46808510638297873</v>
      </c>
      <c r="L18" s="9">
        <f>IF(SUM(G18,I18)=0,"n.a.",I18/SUM(G18,I18))</f>
        <v>0.7963362068965517</v>
      </c>
      <c r="M18" s="9">
        <f>I18/SUM(H18:I18)</f>
        <v>0.2956</v>
      </c>
    </row>
    <row r="19" spans="1:13" ht="18.75" customHeight="1">
      <c r="A19" s="1" t="s">
        <v>12</v>
      </c>
      <c r="B19" s="10">
        <v>2026</v>
      </c>
      <c r="C19" s="1" t="s">
        <v>29</v>
      </c>
      <c r="D19" s="11">
        <v>1166</v>
      </c>
      <c r="E19" s="11">
        <v>2500</v>
      </c>
      <c r="F19" s="11">
        <v>977</v>
      </c>
      <c r="G19" s="11">
        <v>189</v>
      </c>
      <c r="H19" s="11">
        <v>1428</v>
      </c>
      <c r="I19" s="11">
        <v>1072</v>
      </c>
      <c r="J19" s="6">
        <v>0.7064740994854202</v>
      </c>
      <c r="K19" s="9">
        <f>(F19+I19)/SUM(F19:I19)</f>
        <v>0.5589198036006546</v>
      </c>
      <c r="L19" s="9">
        <f>IF(SUM(G19,I19)=0,"n.a.",I19/SUM(G19,I19))</f>
        <v>0.8501189532117367</v>
      </c>
      <c r="M19" s="9">
        <f>I19/SUM(H19:I19)</f>
        <v>0.4288</v>
      </c>
    </row>
    <row r="20" spans="1:13" ht="18.75" customHeight="1">
      <c r="A20" s="1" t="s">
        <v>13</v>
      </c>
      <c r="B20" s="10">
        <v>42</v>
      </c>
      <c r="C20" s="1" t="s">
        <v>27</v>
      </c>
      <c r="D20" s="11">
        <v>1166</v>
      </c>
      <c r="E20" s="11">
        <v>2500</v>
      </c>
      <c r="F20" s="11">
        <v>1133</v>
      </c>
      <c r="G20" s="11">
        <v>33</v>
      </c>
      <c r="H20" s="11">
        <v>504</v>
      </c>
      <c r="I20" s="11">
        <v>1996</v>
      </c>
      <c r="J20" s="6">
        <v>0.976906346483705</v>
      </c>
      <c r="K20" s="9">
        <f>(F20+I20)/SUM(F20:I20)</f>
        <v>0.853518821603928</v>
      </c>
      <c r="L20" s="9">
        <f>IF(SUM(G20,I20)=0,"n.a.",I20/SUM(G20,I20))</f>
        <v>0.9837358304583539</v>
      </c>
      <c r="M20" s="9">
        <f>I20/SUM(H20:I20)</f>
        <v>0.7984</v>
      </c>
    </row>
    <row r="21" spans="1:13" ht="18.75" customHeight="1">
      <c r="A21" s="1" t="s">
        <v>13</v>
      </c>
      <c r="B21" s="10">
        <v>42</v>
      </c>
      <c r="C21" s="1" t="s">
        <v>28</v>
      </c>
      <c r="D21" s="11">
        <v>1166</v>
      </c>
      <c r="E21" s="11">
        <v>2500</v>
      </c>
      <c r="F21" s="11">
        <v>1133</v>
      </c>
      <c r="G21" s="11">
        <v>33</v>
      </c>
      <c r="H21" s="11">
        <v>1467</v>
      </c>
      <c r="I21" s="11">
        <v>1033</v>
      </c>
      <c r="J21" s="6">
        <v>0.9011265866209262</v>
      </c>
      <c r="K21" s="9">
        <f>(F21+I21)/SUM(F21:I21)</f>
        <v>0.5908346972176759</v>
      </c>
      <c r="L21" s="9">
        <f>IF(SUM(G21,I21)=0,"n.a.",I21/SUM(G21,I21))</f>
        <v>0.9690431519699813</v>
      </c>
      <c r="M21" s="9">
        <f>I21/SUM(H21:I21)</f>
        <v>0.4132</v>
      </c>
    </row>
    <row r="22" spans="1:13" ht="18.75" customHeight="1">
      <c r="A22" s="1" t="s">
        <v>13</v>
      </c>
      <c r="B22" s="10">
        <v>42</v>
      </c>
      <c r="C22" s="1" t="s">
        <v>29</v>
      </c>
      <c r="D22" s="11">
        <v>1166</v>
      </c>
      <c r="E22" s="11">
        <v>2500</v>
      </c>
      <c r="F22" s="11">
        <v>1133</v>
      </c>
      <c r="G22" s="11">
        <v>33</v>
      </c>
      <c r="H22" s="11">
        <v>1096</v>
      </c>
      <c r="I22" s="11">
        <v>1404</v>
      </c>
      <c r="J22" s="6">
        <v>0.9331046312178387</v>
      </c>
      <c r="K22" s="9">
        <f>(F22+I22)/SUM(F22:I22)</f>
        <v>0.6920349154391707</v>
      </c>
      <c r="L22" s="9">
        <f>IF(SUM(G22,I22)=0,"n.a.",I22/SUM(G22,I22))</f>
        <v>0.9770354906054279</v>
      </c>
      <c r="M22" s="9">
        <f>I22/SUM(H22:I22)</f>
        <v>0.5616</v>
      </c>
    </row>
    <row r="23" spans="1:13" ht="18.75" customHeight="1">
      <c r="A23" s="1" t="s">
        <v>13</v>
      </c>
      <c r="B23" s="10">
        <v>123</v>
      </c>
      <c r="C23" s="1" t="s">
        <v>27</v>
      </c>
      <c r="D23" s="11">
        <v>1166</v>
      </c>
      <c r="E23" s="11">
        <v>2500</v>
      </c>
      <c r="F23" s="11">
        <v>1053</v>
      </c>
      <c r="G23" s="11">
        <v>113</v>
      </c>
      <c r="H23" s="11">
        <v>126</v>
      </c>
      <c r="I23" s="11">
        <v>2374</v>
      </c>
      <c r="J23" s="6">
        <v>0.9793557461406518</v>
      </c>
      <c r="K23" s="9">
        <f>(F23+I23)/SUM(F23:I23)</f>
        <v>0.9348063284233497</v>
      </c>
      <c r="L23" s="9">
        <f>IF(SUM(G23,I23)=0,"n.a.",I23/SUM(G23,I23))</f>
        <v>0.9545637314032972</v>
      </c>
      <c r="M23" s="9">
        <f>I23/SUM(H23:I23)</f>
        <v>0.9496</v>
      </c>
    </row>
    <row r="24" spans="1:13" ht="18.75" customHeight="1">
      <c r="A24" s="1" t="s">
        <v>13</v>
      </c>
      <c r="B24" s="10">
        <v>123</v>
      </c>
      <c r="C24" s="1" t="s">
        <v>28</v>
      </c>
      <c r="D24" s="11">
        <v>1166</v>
      </c>
      <c r="E24" s="11">
        <v>2500</v>
      </c>
      <c r="F24" s="11">
        <v>1053</v>
      </c>
      <c r="G24" s="11">
        <v>113</v>
      </c>
      <c r="H24" s="11">
        <v>703</v>
      </c>
      <c r="I24" s="11">
        <v>1797</v>
      </c>
      <c r="J24" s="6">
        <v>0.905873756432247</v>
      </c>
      <c r="K24" s="9">
        <f>(F24+I24)/SUM(F24:I24)</f>
        <v>0.7774140752864157</v>
      </c>
      <c r="L24" s="9">
        <f>IF(SUM(G24,I24)=0,"n.a.",I24/SUM(G24,I24))</f>
        <v>0.9408376963350785</v>
      </c>
      <c r="M24" s="9">
        <f>I24/SUM(H24:I24)</f>
        <v>0.7188</v>
      </c>
    </row>
    <row r="25" spans="1:13" ht="18.75" customHeight="1">
      <c r="A25" s="1" t="s">
        <v>13</v>
      </c>
      <c r="B25" s="10">
        <v>123</v>
      </c>
      <c r="C25" s="1" t="s">
        <v>29</v>
      </c>
      <c r="D25" s="11">
        <v>1166</v>
      </c>
      <c r="E25" s="11">
        <v>2500</v>
      </c>
      <c r="F25" s="11">
        <v>1053</v>
      </c>
      <c r="G25" s="11">
        <v>113</v>
      </c>
      <c r="H25" s="11">
        <v>435</v>
      </c>
      <c r="I25" s="11">
        <v>2065</v>
      </c>
      <c r="J25" s="6">
        <v>0.9394075471698116</v>
      </c>
      <c r="K25" s="9">
        <f>(F25+I25)/SUM(F25:I25)</f>
        <v>0.8505182760501909</v>
      </c>
      <c r="L25" s="9">
        <f>IF(SUM(G25,I25)=0,"n.a.",I25/SUM(G25,I25))</f>
        <v>0.94811753902663</v>
      </c>
      <c r="M25" s="9">
        <f>I25/SUM(H25:I25)</f>
        <v>0.826</v>
      </c>
    </row>
    <row r="26" spans="1:13" ht="18.75" customHeight="1">
      <c r="A26" s="1" t="s">
        <v>13</v>
      </c>
      <c r="B26" s="10">
        <v>2026</v>
      </c>
      <c r="C26" s="1" t="s">
        <v>27</v>
      </c>
      <c r="D26" s="11">
        <v>1166</v>
      </c>
      <c r="E26" s="11">
        <v>2500</v>
      </c>
      <c r="F26" s="11">
        <v>1082</v>
      </c>
      <c r="G26" s="11">
        <v>84</v>
      </c>
      <c r="H26" s="11">
        <v>207</v>
      </c>
      <c r="I26" s="11">
        <v>2293</v>
      </c>
      <c r="J26" s="6">
        <v>0.9710281303602059</v>
      </c>
      <c r="K26" s="9">
        <f>(F26+I26)/SUM(F26:I26)</f>
        <v>0.9206219312602292</v>
      </c>
      <c r="L26" s="9">
        <f>IF(SUM(G26,I26)=0,"n.a.",I26/SUM(G26,I26))</f>
        <v>0.9646613378207824</v>
      </c>
      <c r="M26" s="9">
        <f>I26/SUM(H26:I26)</f>
        <v>0.9172</v>
      </c>
    </row>
    <row r="27" spans="1:13" ht="18.75" customHeight="1">
      <c r="A27" s="1" t="s">
        <v>13</v>
      </c>
      <c r="B27" s="10">
        <v>2026</v>
      </c>
      <c r="C27" s="1" t="s">
        <v>28</v>
      </c>
      <c r="D27" s="11">
        <v>1166</v>
      </c>
      <c r="E27" s="11">
        <v>2500</v>
      </c>
      <c r="F27" s="11">
        <v>1082</v>
      </c>
      <c r="G27" s="11">
        <v>84</v>
      </c>
      <c r="H27" s="11">
        <v>686</v>
      </c>
      <c r="I27" s="11">
        <v>1814</v>
      </c>
      <c r="J27" s="6">
        <v>0.9154891938250429</v>
      </c>
      <c r="K27" s="9">
        <f>(F27+I27)/SUM(F27:I27)</f>
        <v>0.789961811238407</v>
      </c>
      <c r="L27" s="9">
        <f>IF(SUM(G27,I27)=0,"n.a.",I27/SUM(G27,I27))</f>
        <v>0.9557428872497366</v>
      </c>
      <c r="M27" s="9">
        <f>I27/SUM(H27:I27)</f>
        <v>0.7256</v>
      </c>
    </row>
    <row r="28" spans="1:13" ht="18.75" customHeight="1">
      <c r="A28" s="1" t="s">
        <v>13</v>
      </c>
      <c r="B28" s="10">
        <v>2026</v>
      </c>
      <c r="C28" s="1" t="s">
        <v>29</v>
      </c>
      <c r="D28" s="11">
        <v>1166</v>
      </c>
      <c r="E28" s="11">
        <v>2500</v>
      </c>
      <c r="F28" s="11">
        <v>1082</v>
      </c>
      <c r="G28" s="11">
        <v>84</v>
      </c>
      <c r="H28" s="11">
        <v>429</v>
      </c>
      <c r="I28" s="11">
        <v>2071</v>
      </c>
      <c r="J28" s="6">
        <v>0.947382847341338</v>
      </c>
      <c r="K28" s="9">
        <f>(F28+I28)/SUM(F28:I28)</f>
        <v>0.8600654664484452</v>
      </c>
      <c r="L28" s="9">
        <f>IF(SUM(G28,I28)=0,"n.a.",I28/SUM(G28,I28))</f>
        <v>0.9610208816705337</v>
      </c>
      <c r="M28" s="9">
        <f>I28/SUM(H28:I28)</f>
        <v>0.8284</v>
      </c>
    </row>
    <row r="31" spans="1:13" ht="18.75" customHeight="1">
      <c r="A31" s="8" t="s">
        <v>41</v>
      </c>
    </row>
    <row r="33" spans="1:9" ht="48" customHeight="1">
      <c r="A33" s="5" t="s">
        <v>2</v>
      </c>
      <c r="B33" s="5" t="s">
        <v>30</v>
      </c>
      <c r="C33" s="5" t="s">
        <v>3</v>
      </c>
      <c r="D33" s="5" t="s">
        <v>4</v>
      </c>
      <c r="E33" s="5" t="s">
        <v>5</v>
      </c>
      <c r="F33" s="5" t="s">
        <v>6</v>
      </c>
      <c r="G33" s="5" t="s">
        <v>8</v>
      </c>
      <c r="H33" s="5" t="s">
        <v>9</v>
      </c>
      <c r="I33" s="5" t="s">
        <v>42</v>
      </c>
    </row>
    <row r="34" spans="1:9" ht="18.75" customHeight="1">
      <c r="A34" s="1" t="s">
        <v>11</v>
      </c>
      <c r="B34" s="10">
        <v>42</v>
      </c>
      <c r="C34" s="6">
        <f>J2</f>
        <v>0.9766672384219555</v>
      </c>
      <c r="D34" s="6">
        <f>J3</f>
        <v>0.936445283018868</v>
      </c>
      <c r="E34" s="6">
        <f>J4</f>
        <v>0.9459689536878216</v>
      </c>
      <c r="F34" s="6">
        <f>AVERAGE(C34:E34)</f>
        <v>0.953027158376215</v>
      </c>
      <c r="G34" s="6">
        <f>STDEVP(C34:E34)</f>
        <v>0.017162267025453124</v>
      </c>
      <c r="H34" s="6">
        <f>MIN(C34:E34)</f>
        <v>0.936445283018868</v>
      </c>
      <c r="I34" s="6">
        <f>MAX(C34:E34)-MIN(C34:E34)</f>
        <v>0.040221955403087484</v>
      </c>
    </row>
    <row r="35" spans="1:9" ht="18.75" customHeight="1">
      <c r="A35" s="1" t="s">
        <v>11</v>
      </c>
      <c r="B35" s="10">
        <v>123</v>
      </c>
      <c r="C35" s="6">
        <f>J5</f>
        <v>0.9781557461406518</v>
      </c>
      <c r="D35" s="6">
        <f>J6</f>
        <v>0.9383049742710119</v>
      </c>
      <c r="E35" s="6">
        <f>J7</f>
        <v>0.9456260720411663</v>
      </c>
      <c r="F35" s="6">
        <f>AVERAGE(C35:E35)</f>
        <v>0.95402893081761</v>
      </c>
      <c r="G35" s="6">
        <f>STDEVP(C35:E35)</f>
        <v>0.01732006603844538</v>
      </c>
      <c r="H35" s="6">
        <f>MIN(C35:E35)</f>
        <v>0.9383049742710119</v>
      </c>
      <c r="I35" s="6">
        <f>MAX(C35:E35)-MIN(C35:E35)</f>
        <v>0.03985077186963992</v>
      </c>
    </row>
    <row r="36" spans="1:9" ht="18.75" customHeight="1">
      <c r="A36" s="1" t="s">
        <v>11</v>
      </c>
      <c r="B36" s="10">
        <v>2026</v>
      </c>
      <c r="C36" s="6">
        <f>J8</f>
        <v>0.9689543739279588</v>
      </c>
      <c r="D36" s="6">
        <f>J9</f>
        <v>0.9358603773584906</v>
      </c>
      <c r="E36" s="6">
        <f>J10</f>
        <v>0.9371684391080617</v>
      </c>
      <c r="F36" s="6">
        <f>AVERAGE(C36:E36)</f>
        <v>0.9473277301315037</v>
      </c>
      <c r="G36" s="6">
        <f>STDEVP(C36:E36)</f>
        <v>0.015301667617381564</v>
      </c>
      <c r="H36" s="6">
        <f>MIN(C36:E36)</f>
        <v>0.9358603773584906</v>
      </c>
      <c r="I36" s="6">
        <f>MAX(C36:E36)-MIN(C36:E36)</f>
        <v>0.03309399656946821</v>
      </c>
    </row>
    <row r="37" spans="1:9" ht="18.75" customHeight="1">
      <c r="A37" s="1" t="s">
        <v>12</v>
      </c>
      <c r="B37" s="10">
        <v>42</v>
      </c>
      <c r="C37" s="6">
        <f>J11</f>
        <v>0.9478826758147513</v>
      </c>
      <c r="D37" s="6">
        <f>J12</f>
        <v>0.7661893653516294</v>
      </c>
      <c r="E37" s="6">
        <f>J13</f>
        <v>0.849306346483705</v>
      </c>
      <c r="F37" s="6">
        <f>AVERAGE(C37:E37)</f>
        <v>0.8544594625500286</v>
      </c>
      <c r="G37" s="6">
        <f>STDEVP(C37:E37)</f>
        <v>0.07426542811949065</v>
      </c>
      <c r="H37" s="6">
        <f>MIN(C37:E37)</f>
        <v>0.7661893653516294</v>
      </c>
      <c r="I37" s="6">
        <f>MAX(C37:E37)-MIN(C37:E37)</f>
        <v>0.18169331046312187</v>
      </c>
    </row>
    <row r="38" spans="1:9" ht="18.75" customHeight="1">
      <c r="A38" s="1" t="s">
        <v>12</v>
      </c>
      <c r="B38" s="10">
        <v>123</v>
      </c>
      <c r="C38" s="6">
        <f>J14</f>
        <v>0.9263279588336193</v>
      </c>
      <c r="D38" s="6">
        <f>J15</f>
        <v>0.7256082332761578</v>
      </c>
      <c r="E38" s="6">
        <f>J16</f>
        <v>0.8301032590051458</v>
      </c>
      <c r="F38" s="6">
        <f>AVERAGE(C38:E38)</f>
        <v>0.8273464837049743</v>
      </c>
      <c r="G38" s="6">
        <f>STDEVP(C38:E38)</f>
        <v>0.08196666767455901</v>
      </c>
      <c r="H38" s="6">
        <f>MIN(C38:E38)</f>
        <v>0.7256082332761578</v>
      </c>
      <c r="I38" s="6">
        <f>MAX(C38:E38)-MIN(C38:E38)</f>
        <v>0.20071972555746154</v>
      </c>
    </row>
    <row r="39" spans="1:9" ht="18.75" customHeight="1">
      <c r="A39" s="1" t="s">
        <v>12</v>
      </c>
      <c r="B39" s="10">
        <v>2026</v>
      </c>
      <c r="C39" s="6">
        <f>J17</f>
        <v>0.8754518010291594</v>
      </c>
      <c r="D39" s="6">
        <f>J18</f>
        <v>0.6397012006861064</v>
      </c>
      <c r="E39" s="6">
        <f>J19</f>
        <v>0.7064740994854202</v>
      </c>
      <c r="F39" s="6">
        <f>AVERAGE(C39:E39)</f>
        <v>0.7405423670668954</v>
      </c>
      <c r="G39" s="6">
        <f>STDEVP(C39:E39)</f>
        <v>0.0992138146715793</v>
      </c>
      <c r="H39" s="6">
        <f>MIN(C39:E39)</f>
        <v>0.6397012006861064</v>
      </c>
      <c r="I39" s="6">
        <f>MAX(C39:E39)-MIN(C39:E39)</f>
        <v>0.23575060034305306</v>
      </c>
    </row>
    <row r="40" spans="1:9" ht="18.75" customHeight="1">
      <c r="A40" s="1" t="s">
        <v>13</v>
      </c>
      <c r="B40" s="10">
        <v>42</v>
      </c>
      <c r="C40" s="6">
        <f>J20</f>
        <v>0.976906346483705</v>
      </c>
      <c r="D40" s="6">
        <f>J21</f>
        <v>0.9011265866209262</v>
      </c>
      <c r="E40" s="6">
        <f>J22</f>
        <v>0.9331046312178387</v>
      </c>
      <c r="F40" s="6">
        <f>AVERAGE(C40:E40)</f>
        <v>0.9370458547741566</v>
      </c>
      <c r="G40" s="6">
        <f>STDEVP(C40:E40)</f>
        <v>0.03106222715298828</v>
      </c>
      <c r="H40" s="6">
        <f>MIN(C40:E40)</f>
        <v>0.9011265866209262</v>
      </c>
      <c r="I40" s="6">
        <f>MAX(C40:E40)-MIN(C40:E40)</f>
        <v>0.07577975986277885</v>
      </c>
    </row>
    <row r="41" spans="1:9" ht="18.75" customHeight="1">
      <c r="A41" s="1" t="s">
        <v>13</v>
      </c>
      <c r="B41" s="10">
        <v>123</v>
      </c>
      <c r="C41" s="6">
        <f>J23</f>
        <v>0.9793557461406518</v>
      </c>
      <c r="D41" s="6">
        <f>J24</f>
        <v>0.905873756432247</v>
      </c>
      <c r="E41" s="6">
        <f>J25</f>
        <v>0.9394075471698116</v>
      </c>
      <c r="F41" s="6">
        <f>AVERAGE(C41:E41)</f>
        <v>0.9415456832475702</v>
      </c>
      <c r="G41" s="6">
        <f>STDEVP(C41:E41)</f>
        <v>0.030036970800351878</v>
      </c>
      <c r="H41" s="6">
        <f>MIN(C41:E41)</f>
        <v>0.905873756432247</v>
      </c>
      <c r="I41" s="6">
        <f>MAX(C41:E41)-MIN(C41:E41)</f>
        <v>0.0734819897084048</v>
      </c>
    </row>
    <row r="42" spans="1:9" ht="18.75" customHeight="1">
      <c r="A42" s="1" t="s">
        <v>13</v>
      </c>
      <c r="B42" s="10">
        <v>2026</v>
      </c>
      <c r="C42" s="6">
        <f>J26</f>
        <v>0.9710281303602059</v>
      </c>
      <c r="D42" s="6">
        <f>J27</f>
        <v>0.9154891938250429</v>
      </c>
      <c r="E42" s="6">
        <f>J28</f>
        <v>0.947382847341338</v>
      </c>
      <c r="F42" s="6">
        <f>AVERAGE(C42:E42)</f>
        <v>0.9446333905088623</v>
      </c>
      <c r="G42" s="6">
        <f>STDEVP(C42:E42)</f>
        <v>0.02275687445614988</v>
      </c>
      <c r="H42" s="6">
        <f>MIN(C42:E42)</f>
        <v>0.9154891938250429</v>
      </c>
      <c r="I42" s="6">
        <f>MAX(C42:E42)-MIN(C42:E42)</f>
        <v>0.05553893653516295</v>
      </c>
    </row>
    <row r="45" spans="1:9" ht="18.75" customHeight="1">
      <c r="A45" s="8" t="s">
        <v>43</v>
      </c>
    </row>
    <row r="46" spans="1:9" ht="18.75" customHeight="1">
      <c r="A46" s="7" t="s">
        <v>44</v>
      </c>
    </row>
    <row r="47" spans="1:9" ht="18.75" customHeight="1">
      <c r="A47" s="7" t="s">
        <v>45</v>
      </c>
    </row>
    <row r="48" spans="1:9" ht="18.75" customHeight="1">
      <c r="A48" s="7" t="s">
        <v>46</v>
      </c>
    </row>
    <row r="49" spans="1:1" ht="18.75" customHeight="1">
      <c r="A49" s="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comparison</vt:lpstr>
      <vt:lpstr>Run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M5 Results</dc:title>
  <dc:creator/>
  <cp:lastModifiedBy/>
  <dcterms:created xsi:type="dcterms:W3CDTF">2026-10-09T00:12:21Z</dcterms:created>
  <dcterms:modified xsi:type="dcterms:W3CDTF">2026-10-09T00:12:21Z</dcterms:modified>
</cp:coreProperties>
</file>